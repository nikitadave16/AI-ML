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ll_batches\DSS_Nov_2025\"/>
    </mc:Choice>
  </mc:AlternateContent>
  <xr:revisionPtr revIDLastSave="0" documentId="13_ncr:1_{1B8BCCAD-5C21-4B85-A7D6-8E5DF960925E}" xr6:coauthVersionLast="47" xr6:coauthVersionMax="47" xr10:uidLastSave="{00000000-0000-0000-0000-000000000000}"/>
  <bookViews>
    <workbookView xWindow="-108" yWindow="-108" windowWidth="23256" windowHeight="12576" activeTab="4" xr2:uid="{6E7327BB-3AED-4956-B275-7FEA21392B54}"/>
  </bookViews>
  <sheets>
    <sheet name="Sheet1" sheetId="1" r:id="rId1"/>
    <sheet name="Consolidated Marks" sheetId="4" r:id="rId2"/>
    <sheet name="Mohit" sheetId="2" r:id="rId3"/>
    <sheet name="Jay Shah" sheetId="3" r:id="rId4"/>
    <sheet name="Sheet1 (2)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2" i="4"/>
  <c r="C20" i="2"/>
  <c r="C16" i="2"/>
  <c r="G5" i="1"/>
  <c r="G3" i="1"/>
  <c r="D18" i="5"/>
  <c r="D19" i="5"/>
  <c r="C19" i="5"/>
  <c r="B19" i="5"/>
  <c r="C18" i="5"/>
  <c r="B18" i="5"/>
  <c r="C17" i="5"/>
  <c r="I24" i="5" s="1"/>
  <c r="D17" i="5"/>
  <c r="B17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2" i="5"/>
  <c r="B3" i="4" l="1"/>
  <c r="B2" i="4"/>
  <c r="E20" i="2"/>
  <c r="E21" i="2"/>
  <c r="D20" i="2"/>
  <c r="D21" i="2"/>
  <c r="C21" i="2"/>
  <c r="E19" i="2"/>
  <c r="D19" i="2"/>
  <c r="C19" i="2"/>
  <c r="D18" i="2"/>
  <c r="E18" i="2"/>
  <c r="C18" i="2"/>
  <c r="D17" i="2"/>
  <c r="E17" i="2"/>
  <c r="C17" i="2"/>
  <c r="E16" i="2"/>
  <c r="D16" i="2"/>
  <c r="E15" i="2"/>
  <c r="D15" i="2"/>
  <c r="D14" i="2"/>
  <c r="C14" i="2"/>
  <c r="C15" i="2" s="1"/>
  <c r="E12" i="2"/>
  <c r="E14" i="2"/>
  <c r="E10" i="2"/>
  <c r="E9" i="2"/>
  <c r="E8" i="2"/>
  <c r="E7" i="2"/>
  <c r="E6" i="2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G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J3" i="1"/>
</calcChain>
</file>

<file path=xl/sharedStrings.xml><?xml version="1.0" encoding="utf-8"?>
<sst xmlns="http://schemas.openxmlformats.org/spreadsheetml/2006/main" count="109" uniqueCount="72">
  <si>
    <t>Sr.No.</t>
  </si>
  <si>
    <t>Name</t>
  </si>
  <si>
    <t>Address</t>
  </si>
  <si>
    <t>Mo. No.</t>
  </si>
  <si>
    <t>Mohit</t>
  </si>
  <si>
    <t>Jay</t>
  </si>
  <si>
    <t>Mala</t>
  </si>
  <si>
    <t>Surat</t>
  </si>
  <si>
    <t>Mohit Niwas, Game te Upvan, Beside Mayer's Bungalows, Law Garden, Ahmedabad</t>
  </si>
  <si>
    <t>Jay Niwas, Good Bungalows, 
Beside CM's house, 
Gandhinagar</t>
  </si>
  <si>
    <t>Tableau</t>
  </si>
  <si>
    <t>Excel</t>
  </si>
  <si>
    <t>Total Marks</t>
  </si>
  <si>
    <t>External Marks</t>
  </si>
  <si>
    <t>Total</t>
  </si>
  <si>
    <t>Internal Marks</t>
  </si>
  <si>
    <t>Exam Date</t>
  </si>
  <si>
    <t>Exam Day</t>
  </si>
  <si>
    <t>Thu</t>
  </si>
  <si>
    <t>Fri</t>
  </si>
  <si>
    <t>Sat</t>
  </si>
  <si>
    <t>Sun</t>
  </si>
  <si>
    <t>Mon</t>
  </si>
  <si>
    <t>Tue</t>
  </si>
  <si>
    <t>Wed</t>
  </si>
  <si>
    <t>Course</t>
  </si>
  <si>
    <t>Module</t>
  </si>
  <si>
    <t>Data Analytics</t>
  </si>
  <si>
    <t>Subject</t>
  </si>
  <si>
    <t>Test -1 Marks</t>
  </si>
  <si>
    <t>Test - 2 Marks</t>
  </si>
  <si>
    <t>Advanced SQL</t>
  </si>
  <si>
    <t>Core Python</t>
  </si>
  <si>
    <t>Python Libraries</t>
  </si>
  <si>
    <t>Probability &amp; Statistics</t>
  </si>
  <si>
    <t>Hypothesis Testing</t>
  </si>
  <si>
    <t>Avg Makrks Per Subject</t>
  </si>
  <si>
    <t>Rounded Off Avg</t>
  </si>
  <si>
    <t>Truncated Avg</t>
  </si>
  <si>
    <t>Rounded Down Avg</t>
  </si>
  <si>
    <t>Rounded Up Avg</t>
  </si>
  <si>
    <t>Nearest Ten</t>
  </si>
  <si>
    <t>Nearest Hundred</t>
  </si>
  <si>
    <t>Data Scince</t>
  </si>
  <si>
    <t>Jay Shah</t>
  </si>
  <si>
    <t>Full Name</t>
  </si>
  <si>
    <t>Mohit N. Prajapati</t>
  </si>
  <si>
    <t>Student No</t>
  </si>
  <si>
    <t>Sub 1</t>
  </si>
  <si>
    <t>Sub 2</t>
  </si>
  <si>
    <t>Subject Total</t>
  </si>
  <si>
    <t>Fixed Internal Marks</t>
  </si>
  <si>
    <t>Bonus Marks</t>
  </si>
  <si>
    <t>Attendance</t>
  </si>
  <si>
    <t>Qualified or Not</t>
  </si>
  <si>
    <t>Independence Day</t>
  </si>
  <si>
    <t>Sports Day</t>
  </si>
  <si>
    <t>Final Marks</t>
  </si>
  <si>
    <t>Number of students Attended Independance Day</t>
  </si>
  <si>
    <t>P</t>
  </si>
  <si>
    <t>Number of students who gave exam of subject 2</t>
  </si>
  <si>
    <t>Number of students who gave exam of subject 1</t>
  </si>
  <si>
    <t>Number of students Attended Sports Day</t>
  </si>
  <si>
    <t>Number of students having attendance atleast 70%</t>
  </si>
  <si>
    <t>Number of students having attendance exactly 8%</t>
  </si>
  <si>
    <t>No of students who scored atleast 25 in sub1 but could not score more than 20 in sub2</t>
  </si>
  <si>
    <t>Total marks of students whose attendance was atleast 70%</t>
  </si>
  <si>
    <t>Average Marks per student</t>
  </si>
  <si>
    <t>Total marks of students whose attendance was atleast 70% &amp; attended independence day</t>
  </si>
  <si>
    <t>Average by AVERAGE formula</t>
  </si>
  <si>
    <t>Summary</t>
  </si>
  <si>
    <t>Avg Marks/Student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</si>
</sst>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omic Sans MS"/>
      <family val="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14" fontId="0" fillId="0" borderId="0" xfId="0" applyNumberFormat="1"/>
    <xf numFmtId="16" fontId="0" fillId="0" borderId="0" xfId="0" applyNumberFormat="1"/>
    <xf numFmtId="1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60480</xdr:colOff>
      <xdr:row>4</xdr:row>
      <xdr:rowOff>45360</xdr:rowOff>
    </xdr:from>
    <xdr:to>
      <xdr:col>2</xdr:col>
      <xdr:colOff>60840</xdr:colOff>
      <xdr:row>4</xdr:row>
      <xdr:rowOff>45720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9B20D12-81CE-A264-FB50-8260BBA30BCB}"/>
                </a:ext>
              </a:extLst>
            </xdr14:cNvPr>
            <xdr14:cNvContentPartPr/>
          </xdr14:nvContentPartPr>
          <xdr14:nvPr macro=""/>
          <xdr14:xfrm>
            <a:off x="883440" y="59400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9B20D12-81CE-A264-FB50-8260BBA30B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77320" y="587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30T05:35:07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0DC8-F2AF-4093-90C0-BF19F667EDF7}">
  <dimension ref="A1:N22"/>
  <sheetViews>
    <sheetView zoomScaleNormal="100" workbookViewId="0">
      <selection activeCell="K7" sqref="K7"/>
    </sheetView>
  </sheetViews>
  <sheetFormatPr defaultRowHeight="14.4" x14ac:dyDescent="0.3"/>
  <cols>
    <col min="1" max="1" width="8.6640625" bestFit="1" customWidth="1"/>
    <col min="2" max="2" width="20.77734375" customWidth="1"/>
    <col min="3" max="3" width="29.33203125" customWidth="1"/>
    <col min="4" max="4" width="20.77734375" style="6" customWidth="1"/>
    <col min="5" max="5" width="9.21875" bestFit="1" customWidth="1"/>
    <col min="7" max="7" width="12.109375" customWidth="1"/>
    <col min="11" max="11" width="10.33203125" bestFit="1" customWidth="1"/>
    <col min="14" max="14" width="9.6640625" bestFit="1" customWidth="1"/>
  </cols>
  <sheetData>
    <row r="1" spans="1:14" s="4" customFormat="1" ht="19.8" x14ac:dyDescent="0.5">
      <c r="A1" s="13" t="s">
        <v>0</v>
      </c>
      <c r="B1" s="13" t="s">
        <v>1</v>
      </c>
      <c r="C1" s="13" t="s">
        <v>2</v>
      </c>
      <c r="D1" s="13" t="s">
        <v>3</v>
      </c>
      <c r="E1" s="18" t="s">
        <v>13</v>
      </c>
      <c r="F1" s="18"/>
      <c r="G1" s="15" t="s">
        <v>14</v>
      </c>
      <c r="H1" s="17" t="s">
        <v>15</v>
      </c>
      <c r="I1" s="17"/>
      <c r="J1" s="17" t="s">
        <v>14</v>
      </c>
      <c r="K1" s="17" t="s">
        <v>16</v>
      </c>
      <c r="L1" s="17" t="s">
        <v>17</v>
      </c>
    </row>
    <row r="2" spans="1:14" s="4" customFormat="1" ht="19.8" x14ac:dyDescent="0.5">
      <c r="A2" s="14"/>
      <c r="B2" s="14"/>
      <c r="C2" s="14"/>
      <c r="D2" s="14"/>
      <c r="E2" s="3" t="s">
        <v>10</v>
      </c>
      <c r="F2" s="3" t="s">
        <v>11</v>
      </c>
      <c r="G2" s="16"/>
      <c r="H2" s="4" t="s">
        <v>10</v>
      </c>
      <c r="I2" s="4" t="s">
        <v>11</v>
      </c>
      <c r="J2" s="17"/>
      <c r="K2" s="17"/>
      <c r="L2" s="17"/>
    </row>
    <row r="3" spans="1:14" ht="43.2" x14ac:dyDescent="0.3">
      <c r="A3" s="1">
        <v>1</v>
      </c>
      <c r="B3" s="1" t="s">
        <v>4</v>
      </c>
      <c r="C3" s="2" t="s">
        <v>8</v>
      </c>
      <c r="D3" s="5">
        <v>123456789</v>
      </c>
      <c r="E3" s="1">
        <v>98</v>
      </c>
      <c r="F3" s="1">
        <v>99</v>
      </c>
      <c r="G3">
        <f>E3+F3</f>
        <v>197</v>
      </c>
      <c r="H3">
        <v>28</v>
      </c>
      <c r="I3">
        <v>25</v>
      </c>
      <c r="J3">
        <f>H3+I3</f>
        <v>53</v>
      </c>
      <c r="K3" s="8">
        <v>45712</v>
      </c>
      <c r="L3" t="s">
        <v>18</v>
      </c>
      <c r="M3" s="9">
        <v>45991</v>
      </c>
      <c r="N3" s="10">
        <v>45626</v>
      </c>
    </row>
    <row r="4" spans="1:14" ht="43.2" x14ac:dyDescent="0.3">
      <c r="A4" s="1">
        <v>2</v>
      </c>
      <c r="B4" s="1" t="s">
        <v>5</v>
      </c>
      <c r="C4" s="2" t="s">
        <v>9</v>
      </c>
      <c r="D4" s="5">
        <v>987654321</v>
      </c>
      <c r="E4" s="1">
        <v>98</v>
      </c>
      <c r="F4" s="1">
        <v>100</v>
      </c>
      <c r="G4">
        <f t="shared" ref="G4:G22" si="0">E4+F4</f>
        <v>198</v>
      </c>
      <c r="H4">
        <v>29</v>
      </c>
      <c r="I4">
        <v>26</v>
      </c>
      <c r="J4">
        <f t="shared" ref="J4:J22" si="1">H4+I4</f>
        <v>55</v>
      </c>
      <c r="K4" s="8">
        <v>45713</v>
      </c>
      <c r="L4" t="s">
        <v>19</v>
      </c>
      <c r="M4" s="9">
        <v>45992</v>
      </c>
      <c r="N4" s="10">
        <v>45627</v>
      </c>
    </row>
    <row r="5" spans="1:14" x14ac:dyDescent="0.3">
      <c r="A5" s="1">
        <v>3</v>
      </c>
      <c r="B5" s="1" t="s">
        <v>6</v>
      </c>
      <c r="C5" s="1" t="s">
        <v>7</v>
      </c>
      <c r="D5" s="5">
        <v>122334455</v>
      </c>
      <c r="E5" s="1">
        <v>99</v>
      </c>
      <c r="F5" s="1">
        <v>98</v>
      </c>
      <c r="G5">
        <f>E5+F5</f>
        <v>197</v>
      </c>
      <c r="H5">
        <v>24</v>
      </c>
      <c r="I5">
        <v>28</v>
      </c>
      <c r="J5">
        <f t="shared" si="1"/>
        <v>52</v>
      </c>
      <c r="K5" s="8">
        <v>45714</v>
      </c>
      <c r="L5" t="s">
        <v>20</v>
      </c>
      <c r="M5" s="9">
        <v>45993</v>
      </c>
      <c r="N5" s="10">
        <v>45628</v>
      </c>
    </row>
    <row r="6" spans="1:14" x14ac:dyDescent="0.3">
      <c r="A6" s="7">
        <v>4</v>
      </c>
      <c r="E6" s="7">
        <v>50</v>
      </c>
      <c r="F6" s="7">
        <v>70</v>
      </c>
      <c r="G6">
        <f t="shared" si="0"/>
        <v>120</v>
      </c>
      <c r="J6">
        <f t="shared" si="1"/>
        <v>0</v>
      </c>
      <c r="K6" s="8">
        <v>45715</v>
      </c>
      <c r="L6" t="s">
        <v>21</v>
      </c>
      <c r="M6" s="9">
        <v>45994</v>
      </c>
      <c r="N6" s="10">
        <v>45629</v>
      </c>
    </row>
    <row r="7" spans="1:14" x14ac:dyDescent="0.3">
      <c r="A7" s="1">
        <v>5</v>
      </c>
      <c r="G7">
        <f t="shared" si="0"/>
        <v>0</v>
      </c>
      <c r="J7">
        <f t="shared" si="1"/>
        <v>0</v>
      </c>
      <c r="K7" s="8">
        <v>45716</v>
      </c>
      <c r="L7" t="s">
        <v>22</v>
      </c>
      <c r="M7" s="9">
        <v>45995</v>
      </c>
      <c r="N7" s="10">
        <v>45630</v>
      </c>
    </row>
    <row r="8" spans="1:14" x14ac:dyDescent="0.3">
      <c r="A8" s="7">
        <v>6</v>
      </c>
      <c r="G8">
        <f t="shared" si="0"/>
        <v>0</v>
      </c>
      <c r="J8">
        <f t="shared" si="1"/>
        <v>0</v>
      </c>
      <c r="K8" s="8">
        <v>45717</v>
      </c>
      <c r="L8" t="s">
        <v>23</v>
      </c>
      <c r="M8" s="9">
        <v>45996</v>
      </c>
      <c r="N8" s="10">
        <v>45631</v>
      </c>
    </row>
    <row r="9" spans="1:14" x14ac:dyDescent="0.3">
      <c r="A9" s="1">
        <v>7</v>
      </c>
      <c r="G9">
        <f t="shared" si="0"/>
        <v>0</v>
      </c>
      <c r="J9">
        <f t="shared" si="1"/>
        <v>0</v>
      </c>
      <c r="K9" s="8">
        <v>45718</v>
      </c>
      <c r="L9" t="s">
        <v>24</v>
      </c>
      <c r="M9" s="9">
        <v>45997</v>
      </c>
      <c r="N9" s="10">
        <v>45632</v>
      </c>
    </row>
    <row r="10" spans="1:14" x14ac:dyDescent="0.3">
      <c r="A10" s="7">
        <v>8</v>
      </c>
      <c r="G10">
        <f t="shared" si="0"/>
        <v>0</v>
      </c>
      <c r="J10">
        <f t="shared" si="1"/>
        <v>0</v>
      </c>
      <c r="K10" s="8">
        <v>45719</v>
      </c>
      <c r="L10" t="s">
        <v>18</v>
      </c>
      <c r="M10" s="9">
        <v>45998</v>
      </c>
      <c r="N10" s="10">
        <v>45633</v>
      </c>
    </row>
    <row r="11" spans="1:14" x14ac:dyDescent="0.3">
      <c r="A11" s="1">
        <v>9</v>
      </c>
      <c r="G11">
        <f t="shared" si="0"/>
        <v>0</v>
      </c>
      <c r="J11">
        <f t="shared" si="1"/>
        <v>0</v>
      </c>
      <c r="K11" s="8">
        <v>45720</v>
      </c>
      <c r="L11" t="s">
        <v>19</v>
      </c>
      <c r="M11" s="9">
        <v>45999</v>
      </c>
      <c r="N11" s="10">
        <v>45634</v>
      </c>
    </row>
    <row r="12" spans="1:14" x14ac:dyDescent="0.3">
      <c r="A12" s="7">
        <v>10</v>
      </c>
      <c r="G12">
        <f t="shared" si="0"/>
        <v>0</v>
      </c>
      <c r="J12">
        <f t="shared" si="1"/>
        <v>0</v>
      </c>
      <c r="K12" s="8">
        <v>45721</v>
      </c>
      <c r="L12" t="s">
        <v>20</v>
      </c>
      <c r="M12" s="9">
        <v>46000</v>
      </c>
      <c r="N12" s="10">
        <v>45635</v>
      </c>
    </row>
    <row r="13" spans="1:14" x14ac:dyDescent="0.3">
      <c r="A13" s="1">
        <v>11</v>
      </c>
      <c r="G13">
        <f t="shared" si="0"/>
        <v>0</v>
      </c>
      <c r="J13">
        <f t="shared" si="1"/>
        <v>0</v>
      </c>
      <c r="K13" s="8">
        <v>45722</v>
      </c>
      <c r="L13" t="s">
        <v>21</v>
      </c>
      <c r="M13" s="9">
        <v>46001</v>
      </c>
      <c r="N13" s="10">
        <v>45636</v>
      </c>
    </row>
    <row r="14" spans="1:14" x14ac:dyDescent="0.3">
      <c r="A14" s="7">
        <v>12</v>
      </c>
      <c r="G14">
        <f t="shared" si="0"/>
        <v>0</v>
      </c>
      <c r="J14">
        <f t="shared" si="1"/>
        <v>0</v>
      </c>
      <c r="K14" s="8">
        <v>45723</v>
      </c>
      <c r="L14" t="s">
        <v>22</v>
      </c>
      <c r="M14" s="9">
        <v>46002</v>
      </c>
      <c r="N14" s="10">
        <v>45637</v>
      </c>
    </row>
    <row r="15" spans="1:14" x14ac:dyDescent="0.3">
      <c r="A15" s="1">
        <v>13</v>
      </c>
      <c r="G15">
        <f t="shared" si="0"/>
        <v>0</v>
      </c>
      <c r="J15">
        <f t="shared" si="1"/>
        <v>0</v>
      </c>
      <c r="K15" s="8">
        <v>45724</v>
      </c>
      <c r="L15" t="s">
        <v>23</v>
      </c>
      <c r="M15" s="9">
        <v>46003</v>
      </c>
      <c r="N15" s="10">
        <v>45638</v>
      </c>
    </row>
    <row r="16" spans="1:14" x14ac:dyDescent="0.3">
      <c r="A16" s="7">
        <v>14</v>
      </c>
      <c r="G16">
        <f t="shared" si="0"/>
        <v>0</v>
      </c>
      <c r="J16">
        <f t="shared" si="1"/>
        <v>0</v>
      </c>
      <c r="K16" s="8">
        <v>45725</v>
      </c>
      <c r="L16" t="s">
        <v>24</v>
      </c>
      <c r="M16" s="9">
        <v>46004</v>
      </c>
      <c r="N16" s="10">
        <v>45639</v>
      </c>
    </row>
    <row r="17" spans="1:14" x14ac:dyDescent="0.3">
      <c r="A17" s="1">
        <v>15</v>
      </c>
      <c r="G17">
        <f t="shared" si="0"/>
        <v>0</v>
      </c>
      <c r="J17">
        <f t="shared" si="1"/>
        <v>0</v>
      </c>
      <c r="K17" s="8">
        <v>45726</v>
      </c>
      <c r="L17" t="s">
        <v>18</v>
      </c>
      <c r="M17" s="9">
        <v>46005</v>
      </c>
      <c r="N17" s="10">
        <v>45640</v>
      </c>
    </row>
    <row r="18" spans="1:14" x14ac:dyDescent="0.3">
      <c r="A18" s="1">
        <v>16</v>
      </c>
      <c r="G18">
        <f t="shared" si="0"/>
        <v>0</v>
      </c>
      <c r="J18">
        <f t="shared" si="1"/>
        <v>0</v>
      </c>
      <c r="K18" s="8">
        <v>45727</v>
      </c>
      <c r="L18" t="s">
        <v>19</v>
      </c>
      <c r="M18" s="9">
        <v>46006</v>
      </c>
      <c r="N18" s="10">
        <v>45641</v>
      </c>
    </row>
    <row r="19" spans="1:14" x14ac:dyDescent="0.3">
      <c r="A19" s="7">
        <v>17</v>
      </c>
      <c r="G19">
        <f t="shared" si="0"/>
        <v>0</v>
      </c>
      <c r="J19">
        <f t="shared" si="1"/>
        <v>0</v>
      </c>
      <c r="K19" s="8">
        <v>45728</v>
      </c>
      <c r="L19" t="s">
        <v>20</v>
      </c>
      <c r="M19" s="9">
        <v>46007</v>
      </c>
      <c r="N19" s="10">
        <v>45642</v>
      </c>
    </row>
    <row r="20" spans="1:14" x14ac:dyDescent="0.3">
      <c r="A20" s="1">
        <v>18</v>
      </c>
      <c r="G20">
        <f t="shared" si="0"/>
        <v>0</v>
      </c>
      <c r="J20">
        <f t="shared" si="1"/>
        <v>0</v>
      </c>
      <c r="K20" s="8">
        <v>45729</v>
      </c>
      <c r="L20" t="s">
        <v>21</v>
      </c>
      <c r="M20" s="9">
        <v>46008</v>
      </c>
      <c r="N20" s="10">
        <v>45643</v>
      </c>
    </row>
    <row r="21" spans="1:14" x14ac:dyDescent="0.3">
      <c r="A21" s="7">
        <v>19</v>
      </c>
      <c r="G21">
        <f t="shared" si="0"/>
        <v>0</v>
      </c>
      <c r="J21">
        <f t="shared" si="1"/>
        <v>0</v>
      </c>
      <c r="K21" s="8">
        <v>45730</v>
      </c>
      <c r="L21" t="s">
        <v>22</v>
      </c>
      <c r="M21" s="9">
        <v>46009</v>
      </c>
      <c r="N21" s="10">
        <v>45644</v>
      </c>
    </row>
    <row r="22" spans="1:14" x14ac:dyDescent="0.3">
      <c r="A22" s="1">
        <v>20</v>
      </c>
      <c r="G22">
        <f t="shared" si="0"/>
        <v>0</v>
      </c>
      <c r="J22">
        <f t="shared" si="1"/>
        <v>0</v>
      </c>
      <c r="K22" s="8">
        <v>45731</v>
      </c>
      <c r="L22" t="s">
        <v>23</v>
      </c>
      <c r="M22" s="9">
        <v>46010</v>
      </c>
      <c r="N22" s="10">
        <v>45645</v>
      </c>
    </row>
  </sheetData>
  <mergeCells count="10">
    <mergeCell ref="H1:I1"/>
    <mergeCell ref="J1:J2"/>
    <mergeCell ref="K1:K2"/>
    <mergeCell ref="L1:L2"/>
    <mergeCell ref="E1:F1"/>
    <mergeCell ref="D1:D2"/>
    <mergeCell ref="C1:C2"/>
    <mergeCell ref="B1:B2"/>
    <mergeCell ref="A1:A2"/>
    <mergeCell ref="G1:G2"/>
  </mergeCells>
  <phoneticPr fontId="2" type="noConversion"/>
  <pageMargins left="0.23622047244094491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7068-D8B0-4290-B758-6FD4D5C15609}">
  <dimension ref="A1:C11"/>
  <sheetViews>
    <sheetView workbookViewId="0">
      <selection activeCell="C3" sqref="C3"/>
    </sheetView>
  </sheetViews>
  <sheetFormatPr defaultRowHeight="14.4" x14ac:dyDescent="0.3"/>
  <cols>
    <col min="2" max="2" width="35.21875" customWidth="1"/>
    <col min="3" max="3" width="10.6640625" bestFit="1" customWidth="1"/>
  </cols>
  <sheetData>
    <row r="1" spans="1:3" x14ac:dyDescent="0.3">
      <c r="A1" t="s">
        <v>0</v>
      </c>
      <c r="B1" t="s">
        <v>45</v>
      </c>
      <c r="C1" t="s">
        <v>12</v>
      </c>
    </row>
    <row r="2" spans="1:3" x14ac:dyDescent="0.3">
      <c r="A2">
        <v>1</v>
      </c>
      <c r="B2" t="str">
        <f>Mohit!B1</f>
        <v>Mohit N. Prajapati</v>
      </c>
      <c r="C2">
        <f>Mohit!E14</f>
        <v>1057</v>
      </c>
    </row>
    <row r="3" spans="1:3" x14ac:dyDescent="0.3">
      <c r="A3">
        <v>2</v>
      </c>
      <c r="B3" t="str">
        <f>'Jay Shah'!B1</f>
        <v>Jay Shah</v>
      </c>
      <c r="C3">
        <f>'Jay Shah'!D7</f>
        <v>0</v>
      </c>
    </row>
    <row r="4" spans="1:3" x14ac:dyDescent="0.3">
      <c r="A4">
        <v>3</v>
      </c>
    </row>
    <row r="5" spans="1:3" x14ac:dyDescent="0.3">
      <c r="A5">
        <v>4</v>
      </c>
    </row>
    <row r="6" spans="1:3" x14ac:dyDescent="0.3">
      <c r="A6">
        <v>5</v>
      </c>
    </row>
    <row r="7" spans="1:3" x14ac:dyDescent="0.3">
      <c r="A7">
        <v>6</v>
      </c>
    </row>
    <row r="8" spans="1:3" x14ac:dyDescent="0.3">
      <c r="A8">
        <v>7</v>
      </c>
    </row>
    <row r="9" spans="1:3" x14ac:dyDescent="0.3">
      <c r="A9">
        <v>8</v>
      </c>
    </row>
    <row r="10" spans="1:3" x14ac:dyDescent="0.3">
      <c r="A10">
        <v>9</v>
      </c>
    </row>
    <row r="11" spans="1:3" x14ac:dyDescent="0.3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C10D-A19C-4D4D-B1F7-B9AF50CA3B27}">
  <dimension ref="A1:E21"/>
  <sheetViews>
    <sheetView workbookViewId="0">
      <selection activeCell="C21" sqref="C21"/>
    </sheetView>
  </sheetViews>
  <sheetFormatPr defaultRowHeight="14.4" x14ac:dyDescent="0.3"/>
  <cols>
    <col min="2" max="2" width="19.33203125" bestFit="1" customWidth="1"/>
    <col min="3" max="3" width="12" bestFit="1" customWidth="1"/>
    <col min="4" max="4" width="12.44140625" bestFit="1" customWidth="1"/>
    <col min="5" max="5" width="10.6640625" bestFit="1" customWidth="1"/>
  </cols>
  <sheetData>
    <row r="1" spans="1:5" x14ac:dyDescent="0.3">
      <c r="A1" t="s">
        <v>1</v>
      </c>
      <c r="B1" t="s">
        <v>46</v>
      </c>
    </row>
    <row r="2" spans="1:5" x14ac:dyDescent="0.3">
      <c r="A2" t="s">
        <v>25</v>
      </c>
      <c r="B2" t="s">
        <v>43</v>
      </c>
    </row>
    <row r="3" spans="1:5" x14ac:dyDescent="0.3">
      <c r="A3" t="s">
        <v>26</v>
      </c>
      <c r="B3" t="s">
        <v>27</v>
      </c>
    </row>
    <row r="5" spans="1:5" x14ac:dyDescent="0.3">
      <c r="A5" t="s">
        <v>0</v>
      </c>
      <c r="B5" t="s">
        <v>28</v>
      </c>
      <c r="C5" t="s">
        <v>29</v>
      </c>
      <c r="D5" t="s">
        <v>30</v>
      </c>
      <c r="E5" t="s">
        <v>12</v>
      </c>
    </row>
    <row r="6" spans="1:5" x14ac:dyDescent="0.3">
      <c r="A6">
        <v>1</v>
      </c>
      <c r="B6" t="s">
        <v>10</v>
      </c>
      <c r="C6">
        <v>80</v>
      </c>
      <c r="D6">
        <v>95</v>
      </c>
      <c r="E6">
        <f>C6+D6</f>
        <v>175</v>
      </c>
    </row>
    <row r="7" spans="1:5" x14ac:dyDescent="0.3">
      <c r="A7">
        <v>2</v>
      </c>
      <c r="B7" t="s">
        <v>11</v>
      </c>
      <c r="C7">
        <v>100</v>
      </c>
      <c r="D7">
        <v>97</v>
      </c>
      <c r="E7">
        <f t="shared" ref="E7:E12" si="0">C7+D7</f>
        <v>197</v>
      </c>
    </row>
    <row r="8" spans="1:5" x14ac:dyDescent="0.3">
      <c r="A8">
        <v>3</v>
      </c>
      <c r="B8" t="s">
        <v>31</v>
      </c>
      <c r="C8">
        <v>80</v>
      </c>
      <c r="D8">
        <v>90</v>
      </c>
      <c r="E8">
        <f t="shared" si="0"/>
        <v>170</v>
      </c>
    </row>
    <row r="9" spans="1:5" x14ac:dyDescent="0.3">
      <c r="A9">
        <v>4</v>
      </c>
      <c r="B9" t="s">
        <v>32</v>
      </c>
      <c r="C9">
        <v>78</v>
      </c>
      <c r="D9">
        <v>88</v>
      </c>
      <c r="E9">
        <f t="shared" si="0"/>
        <v>166</v>
      </c>
    </row>
    <row r="10" spans="1:5" x14ac:dyDescent="0.3">
      <c r="A10">
        <v>5</v>
      </c>
      <c r="B10" t="s">
        <v>33</v>
      </c>
      <c r="C10">
        <v>90</v>
      </c>
      <c r="D10">
        <v>85</v>
      </c>
      <c r="E10">
        <f t="shared" si="0"/>
        <v>175</v>
      </c>
    </row>
    <row r="11" spans="1:5" x14ac:dyDescent="0.3">
      <c r="A11">
        <v>6</v>
      </c>
      <c r="B11" t="s">
        <v>34</v>
      </c>
    </row>
    <row r="12" spans="1:5" x14ac:dyDescent="0.3">
      <c r="A12">
        <v>7</v>
      </c>
      <c r="B12" t="s">
        <v>35</v>
      </c>
      <c r="C12">
        <v>88</v>
      </c>
      <c r="D12">
        <v>86</v>
      </c>
      <c r="E12">
        <f t="shared" si="0"/>
        <v>174</v>
      </c>
    </row>
    <row r="14" spans="1:5" x14ac:dyDescent="0.3">
      <c r="B14" t="s">
        <v>12</v>
      </c>
      <c r="C14">
        <f>SUM(C6:C12)</f>
        <v>516</v>
      </c>
      <c r="D14">
        <f t="shared" ref="D14:E14" si="1">SUM(D6:D12)</f>
        <v>541</v>
      </c>
      <c r="E14">
        <f t="shared" si="1"/>
        <v>1057</v>
      </c>
    </row>
    <row r="15" spans="1:5" x14ac:dyDescent="0.3">
      <c r="B15" t="s">
        <v>36</v>
      </c>
      <c r="C15">
        <f>C14/7</f>
        <v>73.714285714285708</v>
      </c>
      <c r="D15">
        <f>AVERAGE(D6:D12)</f>
        <v>90.166666666666671</v>
      </c>
      <c r="E15">
        <f>AVERAGE(E6:E12)</f>
        <v>176.16666666666666</v>
      </c>
    </row>
    <row r="16" spans="1:5" x14ac:dyDescent="0.3">
      <c r="B16" t="s">
        <v>37</v>
      </c>
      <c r="C16">
        <f>ROUND(C15, 0)</f>
        <v>74</v>
      </c>
      <c r="D16">
        <f>ROUND(D15,2)</f>
        <v>90.17</v>
      </c>
      <c r="E16">
        <f>ROUND(E15,2)</f>
        <v>176.17</v>
      </c>
    </row>
    <row r="17" spans="2:5" x14ac:dyDescent="0.3">
      <c r="B17" t="s">
        <v>38</v>
      </c>
      <c r="C17">
        <f>TRUNC(C15, 0)</f>
        <v>73</v>
      </c>
      <c r="D17">
        <f t="shared" ref="D17:E17" si="2">TRUNC(D15, 0)</f>
        <v>90</v>
      </c>
      <c r="E17">
        <f t="shared" si="2"/>
        <v>176</v>
      </c>
    </row>
    <row r="18" spans="2:5" x14ac:dyDescent="0.3">
      <c r="B18" t="s">
        <v>39</v>
      </c>
      <c r="C18">
        <f>ROUNDDOWN(C15, 0)</f>
        <v>73</v>
      </c>
      <c r="D18">
        <f t="shared" ref="D18:E18" si="3">ROUNDDOWN(D15, 0)</f>
        <v>90</v>
      </c>
      <c r="E18">
        <f t="shared" si="3"/>
        <v>176</v>
      </c>
    </row>
    <row r="19" spans="2:5" x14ac:dyDescent="0.3">
      <c r="B19" t="s">
        <v>40</v>
      </c>
      <c r="C19">
        <f>ROUNDUP(C15, 0)</f>
        <v>74</v>
      </c>
      <c r="D19">
        <f>ROUNDUP(D15, 0)</f>
        <v>91</v>
      </c>
      <c r="E19">
        <f>ROUNDUP(E15, 0)</f>
        <v>177</v>
      </c>
    </row>
    <row r="20" spans="2:5" x14ac:dyDescent="0.3">
      <c r="B20" t="s">
        <v>41</v>
      </c>
      <c r="C20">
        <f>ROUND(C15, -1)</f>
        <v>70</v>
      </c>
      <c r="D20">
        <f>ROUND(D15, -1)</f>
        <v>90</v>
      </c>
      <c r="E20">
        <f>ROUND(E15, -1)</f>
        <v>180</v>
      </c>
    </row>
    <row r="21" spans="2:5" x14ac:dyDescent="0.3">
      <c r="B21" t="s">
        <v>42</v>
      </c>
      <c r="C21">
        <f>ROUND(C15,-2)</f>
        <v>100</v>
      </c>
      <c r="D21">
        <f>ROUND(D15,-2)</f>
        <v>100</v>
      </c>
      <c r="E21">
        <f>ROUND(E15,-2)</f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D582-761A-40AE-8BA9-03D2C019F435}">
  <dimension ref="A1:B3"/>
  <sheetViews>
    <sheetView workbookViewId="0">
      <selection activeCell="D7" sqref="D7"/>
    </sheetView>
  </sheetViews>
  <sheetFormatPr defaultRowHeight="14.4" x14ac:dyDescent="0.3"/>
  <sheetData>
    <row r="1" spans="1:2" x14ac:dyDescent="0.3">
      <c r="A1" t="s">
        <v>1</v>
      </c>
      <c r="B1" t="s">
        <v>44</v>
      </c>
    </row>
    <row r="2" spans="1:2" x14ac:dyDescent="0.3">
      <c r="A2" t="s">
        <v>25</v>
      </c>
      <c r="B2" t="s">
        <v>43</v>
      </c>
    </row>
    <row r="3" spans="1:2" x14ac:dyDescent="0.3">
      <c r="A3" t="s">
        <v>26</v>
      </c>
      <c r="B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04D3-0B3B-4791-9BB0-F3031D52F84B}">
  <dimension ref="A1:M24"/>
  <sheetViews>
    <sheetView tabSelected="1" zoomScale="130" zoomScaleNormal="130" workbookViewId="0"/>
  </sheetViews>
  <sheetFormatPr defaultRowHeight="14.4" x14ac:dyDescent="0.3"/>
  <cols>
    <col min="1" max="1" width="26" bestFit="1" customWidth="1"/>
    <col min="2" max="3" width="5.33203125" bestFit="1" customWidth="1"/>
    <col min="4" max="4" width="13.33203125" customWidth="1"/>
    <col min="5" max="5" width="17.6640625" bestFit="1" customWidth="1"/>
    <col min="6" max="6" width="12.77734375" customWidth="1"/>
    <col min="7" max="7" width="11.44140625" bestFit="1" customWidth="1"/>
    <col min="8" max="8" width="10.33203125" bestFit="1" customWidth="1"/>
    <col min="9" max="9" width="14.21875" bestFit="1" customWidth="1"/>
    <col min="10" max="10" width="17.33203125" bestFit="1" customWidth="1"/>
    <col min="11" max="11" width="9.6640625" bestFit="1" customWidth="1"/>
    <col min="12" max="12" width="10.21875" bestFit="1" customWidth="1"/>
    <col min="13" max="13" width="63.109375" customWidth="1"/>
  </cols>
  <sheetData>
    <row r="1" spans="1:13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12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</row>
    <row r="2" spans="1:13" x14ac:dyDescent="0.3">
      <c r="A2">
        <v>1</v>
      </c>
      <c r="B2">
        <v>22</v>
      </c>
      <c r="C2">
        <v>32</v>
      </c>
      <c r="D2">
        <f>B2+C2</f>
        <v>54</v>
      </c>
      <c r="E2">
        <v>20</v>
      </c>
      <c r="G2">
        <v>10</v>
      </c>
      <c r="H2">
        <v>55</v>
      </c>
      <c r="J2">
        <v>1</v>
      </c>
      <c r="K2" t="s">
        <v>59</v>
      </c>
      <c r="M2" s="11"/>
    </row>
    <row r="3" spans="1:13" x14ac:dyDescent="0.3">
      <c r="A3">
        <v>2</v>
      </c>
      <c r="C3">
        <v>31</v>
      </c>
      <c r="D3">
        <f t="shared" ref="D3:D15" si="0">B3+C3</f>
        <v>31</v>
      </c>
      <c r="H3">
        <v>68</v>
      </c>
      <c r="M3" s="11" t="s">
        <v>60</v>
      </c>
    </row>
    <row r="4" spans="1:13" x14ac:dyDescent="0.3">
      <c r="A4">
        <v>3</v>
      </c>
      <c r="B4">
        <v>14</v>
      </c>
      <c r="C4">
        <v>30</v>
      </c>
      <c r="D4">
        <f t="shared" si="0"/>
        <v>44</v>
      </c>
      <c r="H4">
        <v>77</v>
      </c>
      <c r="M4" s="11"/>
    </row>
    <row r="5" spans="1:13" x14ac:dyDescent="0.3">
      <c r="A5">
        <v>4</v>
      </c>
      <c r="B5">
        <v>15</v>
      </c>
      <c r="D5">
        <f t="shared" si="0"/>
        <v>15</v>
      </c>
      <c r="H5">
        <v>98</v>
      </c>
      <c r="J5">
        <v>1</v>
      </c>
      <c r="M5" s="11" t="s">
        <v>61</v>
      </c>
    </row>
    <row r="6" spans="1:13" x14ac:dyDescent="0.3">
      <c r="A6">
        <v>5</v>
      </c>
      <c r="B6">
        <v>25</v>
      </c>
      <c r="C6">
        <v>32</v>
      </c>
      <c r="D6">
        <f t="shared" si="0"/>
        <v>57</v>
      </c>
      <c r="H6">
        <v>83</v>
      </c>
      <c r="J6">
        <v>1</v>
      </c>
      <c r="K6" t="s">
        <v>59</v>
      </c>
      <c r="M6" s="11"/>
    </row>
    <row r="7" spans="1:13" x14ac:dyDescent="0.3">
      <c r="A7">
        <v>6</v>
      </c>
      <c r="C7">
        <v>34</v>
      </c>
      <c r="D7">
        <f t="shared" si="0"/>
        <v>34</v>
      </c>
      <c r="H7">
        <v>92</v>
      </c>
      <c r="J7">
        <v>1</v>
      </c>
      <c r="K7" t="s">
        <v>59</v>
      </c>
      <c r="M7" s="11"/>
    </row>
    <row r="8" spans="1:13" x14ac:dyDescent="0.3">
      <c r="A8">
        <v>7</v>
      </c>
      <c r="B8">
        <v>20</v>
      </c>
      <c r="C8">
        <v>21</v>
      </c>
      <c r="D8">
        <f t="shared" si="0"/>
        <v>41</v>
      </c>
      <c r="H8">
        <v>52</v>
      </c>
      <c r="J8">
        <v>1</v>
      </c>
      <c r="M8" s="11" t="s">
        <v>62</v>
      </c>
    </row>
    <row r="9" spans="1:13" x14ac:dyDescent="0.3">
      <c r="A9">
        <v>8</v>
      </c>
      <c r="B9">
        <v>25</v>
      </c>
      <c r="D9">
        <f t="shared" si="0"/>
        <v>25</v>
      </c>
      <c r="H9">
        <v>33</v>
      </c>
      <c r="M9" s="11"/>
    </row>
    <row r="10" spans="1:13" x14ac:dyDescent="0.3">
      <c r="A10">
        <v>9</v>
      </c>
      <c r="B10">
        <v>19</v>
      </c>
      <c r="C10">
        <v>12</v>
      </c>
      <c r="D10">
        <f t="shared" si="0"/>
        <v>31</v>
      </c>
      <c r="H10">
        <v>8</v>
      </c>
      <c r="J10">
        <v>1</v>
      </c>
      <c r="K10" t="s">
        <v>59</v>
      </c>
      <c r="M10" s="11" t="s">
        <v>63</v>
      </c>
    </row>
    <row r="11" spans="1:13" x14ac:dyDescent="0.3">
      <c r="A11">
        <v>10</v>
      </c>
      <c r="B11">
        <v>26</v>
      </c>
      <c r="C11">
        <v>11</v>
      </c>
      <c r="D11">
        <f t="shared" si="0"/>
        <v>37</v>
      </c>
      <c r="H11">
        <v>42</v>
      </c>
      <c r="M11" s="11"/>
    </row>
    <row r="12" spans="1:13" x14ac:dyDescent="0.3">
      <c r="A12">
        <v>11</v>
      </c>
      <c r="D12">
        <f t="shared" si="0"/>
        <v>0</v>
      </c>
      <c r="H12">
        <v>49</v>
      </c>
      <c r="J12">
        <v>1</v>
      </c>
      <c r="K12" t="s">
        <v>59</v>
      </c>
      <c r="M12" s="11" t="s">
        <v>64</v>
      </c>
    </row>
    <row r="13" spans="1:13" x14ac:dyDescent="0.3">
      <c r="A13">
        <v>12</v>
      </c>
      <c r="B13">
        <v>24</v>
      </c>
      <c r="C13">
        <v>27</v>
      </c>
      <c r="D13">
        <f t="shared" si="0"/>
        <v>51</v>
      </c>
      <c r="H13">
        <v>39</v>
      </c>
      <c r="K13" t="s">
        <v>59</v>
      </c>
      <c r="M13" s="12"/>
    </row>
    <row r="14" spans="1:13" x14ac:dyDescent="0.3">
      <c r="A14">
        <v>13</v>
      </c>
      <c r="C14">
        <v>29</v>
      </c>
      <c r="D14">
        <f t="shared" si="0"/>
        <v>29</v>
      </c>
      <c r="H14">
        <v>90</v>
      </c>
      <c r="J14">
        <v>1</v>
      </c>
      <c r="K14" t="s">
        <v>59</v>
      </c>
      <c r="M14" s="11" t="s">
        <v>65</v>
      </c>
    </row>
    <row r="15" spans="1:13" x14ac:dyDescent="0.3">
      <c r="A15">
        <v>14</v>
      </c>
      <c r="B15">
        <v>20</v>
      </c>
      <c r="C15">
        <v>9</v>
      </c>
      <c r="D15">
        <f t="shared" si="0"/>
        <v>29</v>
      </c>
      <c r="H15">
        <v>80</v>
      </c>
      <c r="J15">
        <v>1</v>
      </c>
      <c r="K15" t="s">
        <v>59</v>
      </c>
      <c r="M15" s="11"/>
    </row>
    <row r="16" spans="1:13" x14ac:dyDescent="0.3">
      <c r="M16" s="11" t="s">
        <v>66</v>
      </c>
    </row>
    <row r="17" spans="1:13" x14ac:dyDescent="0.3">
      <c r="A17" t="s">
        <v>14</v>
      </c>
      <c r="B17">
        <f>SUM(B2:B15)</f>
        <v>210</v>
      </c>
      <c r="C17">
        <f t="shared" ref="C17:D17" si="1">SUM(C2:C15)</f>
        <v>268</v>
      </c>
      <c r="D17">
        <f t="shared" si="1"/>
        <v>478</v>
      </c>
      <c r="M17" s="11"/>
    </row>
    <row r="18" spans="1:13" x14ac:dyDescent="0.3">
      <c r="A18" t="s">
        <v>67</v>
      </c>
      <c r="B18">
        <f>B17/14</f>
        <v>15</v>
      </c>
      <c r="C18">
        <f t="shared" ref="C18" si="2">C17/14</f>
        <v>19.142857142857142</v>
      </c>
      <c r="D18">
        <f>ROUND(D17/14, 2)</f>
        <v>34.14</v>
      </c>
      <c r="M18" s="11" t="s">
        <v>68</v>
      </c>
    </row>
    <row r="19" spans="1:13" x14ac:dyDescent="0.3">
      <c r="A19" t="s">
        <v>69</v>
      </c>
      <c r="B19">
        <f>AVERAGE(B2:B15)</f>
        <v>21</v>
      </c>
      <c r="C19">
        <f>AVERAGE(C2:C15)</f>
        <v>24.363636363636363</v>
      </c>
      <c r="D19">
        <f>ROUND(AVERAGE(D2:D15), 2)</f>
        <v>34.14</v>
      </c>
      <c r="M19" s="11"/>
    </row>
    <row r="23" spans="1:13" x14ac:dyDescent="0.3">
      <c r="G23" t="s">
        <v>70</v>
      </c>
    </row>
    <row r="24" spans="1:13" x14ac:dyDescent="0.3">
      <c r="G24" t="s">
        <v>71</v>
      </c>
      <c r="I24">
        <f>$C$17/14</f>
        <v>19.142857142857142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Consolidated Marks</vt:lpstr>
      <vt:lpstr>Mohit</vt:lpstr>
      <vt:lpstr>Jay Shah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cp:lastPrinted>2025-11-30T06:19:27Z</cp:lastPrinted>
  <dcterms:created xsi:type="dcterms:W3CDTF">2025-11-30T05:19:35Z</dcterms:created>
  <dcterms:modified xsi:type="dcterms:W3CDTF">2025-12-06T04:47:08Z</dcterms:modified>
</cp:coreProperties>
</file>